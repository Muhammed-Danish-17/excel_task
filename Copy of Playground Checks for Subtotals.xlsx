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860ac7068deaf6/Desktop/"/>
    </mc:Choice>
  </mc:AlternateContent>
  <xr:revisionPtr revIDLastSave="0" documentId="8_{A6CE406A-1192-4683-9F58-D184DEB56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F74" i="1"/>
  <c r="E74" i="1"/>
  <c r="D74" i="1"/>
  <c r="F72" i="1"/>
  <c r="E72" i="1"/>
  <c r="D72" i="1"/>
  <c r="F69" i="1"/>
  <c r="E69" i="1"/>
  <c r="D69" i="1"/>
  <c r="F66" i="1"/>
  <c r="E66" i="1"/>
  <c r="D66" i="1"/>
  <c r="F64" i="1"/>
  <c r="E64" i="1"/>
  <c r="D64" i="1"/>
  <c r="F60" i="1"/>
  <c r="E60" i="1"/>
  <c r="D60" i="1"/>
  <c r="F58" i="1"/>
  <c r="E58" i="1"/>
  <c r="D58" i="1"/>
  <c r="F56" i="1"/>
  <c r="E56" i="1"/>
  <c r="D56" i="1"/>
  <c r="F54" i="1"/>
  <c r="E54" i="1"/>
  <c r="D54" i="1"/>
  <c r="F52" i="1"/>
  <c r="E52" i="1"/>
  <c r="D52" i="1"/>
  <c r="F50" i="1"/>
  <c r="E50" i="1"/>
  <c r="D50" i="1"/>
  <c r="F47" i="1"/>
  <c r="E47" i="1"/>
  <c r="D47" i="1"/>
  <c r="F45" i="1"/>
  <c r="E45" i="1"/>
  <c r="D45" i="1"/>
  <c r="F43" i="1"/>
  <c r="E43" i="1"/>
  <c r="D43" i="1"/>
  <c r="F41" i="1"/>
  <c r="E41" i="1"/>
  <c r="D41" i="1"/>
  <c r="F39" i="1"/>
  <c r="E39" i="1"/>
  <c r="D39" i="1"/>
  <c r="F37" i="1"/>
  <c r="E37" i="1"/>
  <c r="D37" i="1"/>
  <c r="F35" i="1"/>
  <c r="E35" i="1"/>
  <c r="D35" i="1"/>
  <c r="F33" i="1"/>
  <c r="E33" i="1"/>
  <c r="D33" i="1"/>
  <c r="F31" i="1"/>
  <c r="E31" i="1"/>
  <c r="D31" i="1"/>
  <c r="F29" i="1"/>
  <c r="E29" i="1"/>
  <c r="D29" i="1"/>
  <c r="F27" i="1"/>
  <c r="E27" i="1"/>
  <c r="D27" i="1"/>
  <c r="F24" i="1"/>
  <c r="E24" i="1"/>
  <c r="D24" i="1"/>
  <c r="F22" i="1"/>
  <c r="E22" i="1"/>
  <c r="D22" i="1"/>
  <c r="F20" i="1"/>
  <c r="E20" i="1"/>
  <c r="D20" i="1"/>
  <c r="F16" i="1"/>
  <c r="E16" i="1"/>
  <c r="D16" i="1"/>
  <c r="F14" i="1"/>
  <c r="E14" i="1"/>
  <c r="D14" i="1"/>
  <c r="F10" i="1"/>
  <c r="E10" i="1"/>
  <c r="D10" i="1"/>
  <c r="F8" i="1"/>
  <c r="E8" i="1"/>
  <c r="D8" i="1"/>
  <c r="F6" i="1"/>
  <c r="F75" i="1" s="1"/>
  <c r="E6" i="1"/>
  <c r="E75" i="1" s="1"/>
  <c r="D6" i="1"/>
  <c r="D75" i="1" s="1"/>
  <c r="G18" i="1"/>
  <c r="G23" i="1"/>
  <c r="G34" i="1"/>
  <c r="G44" i="1"/>
  <c r="G19" i="1"/>
  <c r="G59" i="1"/>
  <c r="G40" i="1"/>
  <c r="G30" i="1"/>
  <c r="G73" i="1"/>
  <c r="G7" i="1"/>
  <c r="G51" i="1"/>
  <c r="G13" i="1"/>
  <c r="G12" i="1"/>
  <c r="G5" i="1"/>
  <c r="G70" i="1"/>
  <c r="G11" i="1"/>
  <c r="G71" i="1"/>
  <c r="G4" i="1"/>
  <c r="G53" i="1"/>
  <c r="G25" i="1"/>
  <c r="G61" i="1"/>
  <c r="G57" i="1"/>
  <c r="G38" i="1"/>
  <c r="G26" i="1"/>
  <c r="G49" i="1"/>
  <c r="G68" i="1"/>
  <c r="G48" i="1"/>
  <c r="G63" i="1"/>
  <c r="G62" i="1"/>
  <c r="G67" i="1"/>
  <c r="G42" i="1"/>
  <c r="G9" i="1"/>
  <c r="G21" i="1"/>
  <c r="G65" i="1"/>
  <c r="G46" i="1"/>
  <c r="G55" i="1"/>
  <c r="G28" i="1"/>
  <c r="G32" i="1"/>
  <c r="G15" i="1"/>
  <c r="G36" i="1"/>
  <c r="G17" i="1"/>
  <c r="J51" i="1" l="1"/>
  <c r="K51" i="1" s="1"/>
  <c r="J67" i="1"/>
  <c r="K67" i="1" s="1"/>
  <c r="J62" i="1"/>
  <c r="K62" i="1" s="1"/>
  <c r="J7" i="1"/>
  <c r="K7" i="1" s="1"/>
  <c r="J36" i="1"/>
  <c r="K36" i="1" s="1"/>
  <c r="J15" i="1"/>
  <c r="K15" i="1" s="1"/>
  <c r="J4" i="1"/>
  <c r="K4" i="1" s="1"/>
  <c r="J32" i="1"/>
  <c r="K32" i="1" s="1"/>
  <c r="J73" i="1"/>
  <c r="K73" i="1" s="1"/>
  <c r="J63" i="1" l="1"/>
  <c r="K63" i="1" s="1"/>
  <c r="J48" i="1"/>
  <c r="K48" i="1" s="1"/>
  <c r="J68" i="1"/>
  <c r="K68" i="1" s="1"/>
  <c r="J30" i="1"/>
  <c r="K30" i="1" s="1"/>
  <c r="J28" i="1"/>
  <c r="K28" i="1" s="1"/>
  <c r="J71" i="1"/>
  <c r="K71" i="1" s="1"/>
  <c r="J49" i="1"/>
  <c r="K49" i="1" s="1"/>
  <c r="J40" i="1"/>
  <c r="K40" i="1" s="1"/>
  <c r="J55" i="1"/>
  <c r="K55" i="1" s="1"/>
  <c r="J11" i="1"/>
  <c r="K11" i="1" s="1"/>
  <c r="J59" i="1"/>
  <c r="K59" i="1" s="1"/>
  <c r="J46" i="1"/>
  <c r="K46" i="1" s="1"/>
  <c r="J26" i="1"/>
  <c r="K26" i="1" s="1"/>
  <c r="J38" i="1"/>
  <c r="K38" i="1" s="1"/>
  <c r="J19" i="1"/>
  <c r="K19" i="1" s="1"/>
  <c r="J70" i="1"/>
  <c r="K70" i="1" s="1"/>
  <c r="J5" i="1"/>
  <c r="K5" i="1" s="1"/>
  <c r="J44" i="1"/>
  <c r="K44" i="1" s="1"/>
  <c r="J65" i="1"/>
  <c r="K65" i="1" s="1"/>
  <c r="J57" i="1"/>
  <c r="K57" i="1" s="1"/>
  <c r="J21" i="1"/>
  <c r="K21" i="1" s="1"/>
  <c r="J9" i="1"/>
  <c r="K9" i="1" s="1"/>
  <c r="J34" i="1"/>
  <c r="K34" i="1" s="1"/>
  <c r="J23" i="1"/>
  <c r="K23" i="1" s="1"/>
  <c r="J12" i="1"/>
  <c r="K12" i="1" s="1"/>
  <c r="J53" i="1"/>
  <c r="J13" i="1"/>
  <c r="J42" i="1"/>
  <c r="J18" i="1"/>
  <c r="K18" i="1" s="1"/>
  <c r="J25" i="1"/>
  <c r="K25" i="1" s="1"/>
  <c r="J61" i="1"/>
  <c r="K61" i="1" s="1"/>
  <c r="J17" i="1"/>
  <c r="K42" i="1" l="1"/>
  <c r="K53" i="1"/>
  <c r="K13" i="1"/>
  <c r="K17" i="1"/>
</calcChain>
</file>

<file path=xl/sharedStrings.xml><?xml version="1.0" encoding="utf-8"?>
<sst xmlns="http://schemas.openxmlformats.org/spreadsheetml/2006/main" count="166" uniqueCount="103">
  <si>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</si>
  <si>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</si>
  <si>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</si>
  <si>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</si>
  <si>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</si>
  <si>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</si>
  <si>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</si>
  <si>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</si>
  <si>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</si>
  <si>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</si>
  <si>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</si>
  <si>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</si>
  <si>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</si>
  <si>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</si>
  <si>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</si>
  <si>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</si>
  <si>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</si>
  <si>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</si>
  <si>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</si>
  <si>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</si>
  <si>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</si>
  <si>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</si>
  <si>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</si>
  <si>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</si>
  <si>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</si>
  <si>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</si>
  <si>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</si>
  <si>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</si>
  <si>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</si>
  <si>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</si>
  <si>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</si>
  <si>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</si>
  <si>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</si>
  <si>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</si>
  <si>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</si>
  <si>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</si>
  <si>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</si>
  <si>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</si>
  <si>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</si>
  <si>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</si>
  <si>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</si>
  <si>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</si>
  <si>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</si>
  <si>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</si>
  <si>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</si>
  <si>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</si>
  <si>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</si>
  <si>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</si>
  <si>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</si>
  <si>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</si>
  <si>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</si>
  <si>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</si>
  <si>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</si>
  <si>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</si>
  <si>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</si>
  <si>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</si>
  <si>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</si>
  <si>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</si>
  <si>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</si>
  <si>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</si>
  <si>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</si>
  <si>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</si>
  <si>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</si>
  <si>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</si>
  <si>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</si>
  <si>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</si>
  <si>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</si>
  <si>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</si>
  <si>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</si>
  <si>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</si>
  <si>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</si>
  <si>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</si>
  <si>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</si>
  <si>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</si>
  <si>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</si>
  <si>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</si>
  <si>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</si>
  <si>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</si>
  <si>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</si>
  <si>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</si>
  <si>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</si>
  <si>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</si>
  <si>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</si>
  <si>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</si>
  <si>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</si>
  <si>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</si>
  <si>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</si>
  <si>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</si>
  <si>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</si>
  <si>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</si>
  <si>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</si>
  <si>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</si>
  <si>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</si>
  <si>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</si>
  <si>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</si>
  <si>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</si>
  <si>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</si>
  <si>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</si>
  <si>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Mixed Min</t>
  </si>
  <si>
    <t>Adventure Min</t>
  </si>
  <si>
    <t>Toddlers Min</t>
  </si>
  <si>
    <t>Sand Min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</si>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</sst>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14" zoomScale="115" zoomScaleNormal="115" workbookViewId="0">
      <selection activeCell="M9" sqref="M9"/>
    </sheetView>
  </sheetViews>
  <sheetFormatPr defaultRowHeight="14.4" outlineLevelRow="2" x14ac:dyDescent="0.3"/>
  <cols>
    <col min="1" max="1" width="10.33203125" customWidth="1"/>
    <col min="2" max="2" width="25.88671875" bestFit="1" customWidth="1"/>
    <col min="3" max="3" width="9.5546875" customWidth="1"/>
    <col min="4" max="4" width="6.44140625" style="2" bestFit="1" customWidth="1"/>
    <col min="5" max="5" width="5.5546875" style="2" bestFit="1" customWidth="1"/>
    <col min="6" max="6" width="6.88671875" style="2" customWidth="1"/>
    <col min="7" max="7" width="9.21875" style="2" customWidth="1"/>
    <col min="8" max="8" width="13.109375" style="2" customWidth="1"/>
    <col min="9" max="9" width="13.109375" customWidth="1"/>
    <col min="10" max="10" width="10.33203125" bestFit="1" customWidth="1"/>
    <col min="11" max="11" width="8.88671875" style="2" bestFit="1" customWidth="1"/>
    <col min="12" max="12" width="15.33203125" customWidth="1"/>
  </cols>
  <sheetData>
    <row r="1" spans="1:13" ht="18" x14ac:dyDescent="0.35">
      <c r="A1" s="7" t="s">
        <v>0</v>
      </c>
      <c r="B1" s="7"/>
      <c r="C1" s="7"/>
    </row>
    <row r="3" spans="1:13" s="1" customFormat="1" ht="28.8" x14ac:dyDescent="0.3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3" outlineLevel="2" x14ac:dyDescent="0.3">
      <c r="A4" s="3" t="s">
        <v>78</v>
      </c>
      <c r="B4" s="3" t="s">
        <v>81</v>
      </c>
      <c r="C4" s="3" t="s">
        <v>95</v>
      </c>
      <c r="D4" s="4">
        <v>5</v>
      </c>
      <c r="E4" s="4">
        <v>8</v>
      </c>
      <c r="F4" s="4">
        <v>4</v>
      </c>
      <c r="G4" s="4" t="str">
        <f>IF(AND(D4&gt;=7,E4&gt;=7,F4&gt;=8),"Pass","Fail")</f>
        <v>Fail</v>
      </c>
      <c r="H4" s="8">
        <v>44965</v>
      </c>
      <c r="I4" s="9">
        <v>45151</v>
      </c>
      <c r="J4" s="3">
        <f ca="1">I4-TODAY()</f>
        <v>-988</v>
      </c>
      <c r="K4" s="4" t="str">
        <f ca="1">IF(J4&gt;=0, "-", "Overdue")</f>
        <v>Overdue</v>
      </c>
    </row>
    <row r="5" spans="1:13" outlineLevel="2" x14ac:dyDescent="0.3">
      <c r="A5" s="3" t="s">
        <v>28</v>
      </c>
      <c r="B5" s="3" t="s">
        <v>45</v>
      </c>
      <c r="C5" s="3" t="s">
        <v>95</v>
      </c>
      <c r="D5" s="4">
        <v>6</v>
      </c>
      <c r="E5" s="4">
        <v>6</v>
      </c>
      <c r="F5" s="4">
        <v>5</v>
      </c>
      <c r="G5" s="4" t="str">
        <f>IF(AND(D5&gt;=7,E5&gt;=7,F5&gt;=8),"Pass","Fail")</f>
        <v>Fail</v>
      </c>
      <c r="H5" s="8">
        <v>45001</v>
      </c>
      <c r="I5" s="9">
        <v>45187</v>
      </c>
      <c r="J5" s="3">
        <f ca="1">I5-TODAY()</f>
        <v>-952</v>
      </c>
      <c r="K5" s="4" t="str">
        <f ca="1">IF(J5&gt;=0, "-", "Overdue")</f>
        <v>Overdue</v>
      </c>
    </row>
    <row r="6" spans="1:13" outlineLevel="1" x14ac:dyDescent="0.3">
      <c r="A6" s="3"/>
      <c r="B6" s="3"/>
      <c r="C6" s="10" t="s">
        <v>98</v>
      </c>
      <c r="D6" s="4">
        <f>SUBTOTAL(5,D4:D5)</f>
        <v>5</v>
      </c>
      <c r="E6" s="4">
        <f>SUBTOTAL(5,E4:E5)</f>
        <v>6</v>
      </c>
      <c r="F6" s="4">
        <f>SUBTOTAL(5,F4:F5)</f>
        <v>4</v>
      </c>
      <c r="G6" s="4"/>
      <c r="H6" s="8"/>
      <c r="I6" s="9"/>
      <c r="J6" s="3"/>
      <c r="K6" s="4"/>
      <c r="M6">
        <f>AVERAGE(D:D)</f>
        <v>7.5972222222222223</v>
      </c>
    </row>
    <row r="7" spans="1:13" outlineLevel="2" x14ac:dyDescent="0.3">
      <c r="A7" s="3" t="s">
        <v>84</v>
      </c>
      <c r="B7" s="3" t="s">
        <v>85</v>
      </c>
      <c r="C7" s="3" t="s">
        <v>93</v>
      </c>
      <c r="D7" s="4">
        <v>6</v>
      </c>
      <c r="E7" s="4">
        <v>6</v>
      </c>
      <c r="F7" s="4">
        <v>6</v>
      </c>
      <c r="G7" s="4" t="str">
        <f>IF(AND(D7&gt;=7,E7&gt;=7,F7&gt;=8),"Pass","Fail")</f>
        <v>Fail</v>
      </c>
      <c r="H7" s="8">
        <v>45056</v>
      </c>
      <c r="I7" s="9">
        <v>45242</v>
      </c>
      <c r="J7" s="3">
        <f ca="1">I7-TODAY()</f>
        <v>-897</v>
      </c>
      <c r="K7" s="4" t="str">
        <f ca="1">IF(J7&gt;=0, "-", "Overdue")</f>
        <v>Overdue</v>
      </c>
      <c r="M7">
        <f>AVERAGE(E:E)</f>
        <v>7.7222222222222223</v>
      </c>
    </row>
    <row r="8" spans="1:13" outlineLevel="1" x14ac:dyDescent="0.3">
      <c r="A8" s="3"/>
      <c r="B8" s="3"/>
      <c r="C8" s="10" t="s">
        <v>99</v>
      </c>
      <c r="D8" s="4">
        <f>SUBTOTAL(5,D7:D7)</f>
        <v>6</v>
      </c>
      <c r="E8" s="4">
        <f>SUBTOTAL(5,E7:E7)</f>
        <v>6</v>
      </c>
      <c r="F8" s="4">
        <f>SUBTOTAL(5,F7:F7)</f>
        <v>6</v>
      </c>
      <c r="G8" s="4"/>
      <c r="H8" s="8"/>
      <c r="I8" s="9"/>
      <c r="J8" s="3"/>
      <c r="K8" s="4"/>
      <c r="M8">
        <f>AVERAGE(F:F)</f>
        <v>7.7638888888888893</v>
      </c>
    </row>
    <row r="9" spans="1:13" outlineLevel="2" x14ac:dyDescent="0.3">
      <c r="A9" s="3" t="s">
        <v>17</v>
      </c>
      <c r="B9" s="3" t="s">
        <v>48</v>
      </c>
      <c r="C9" s="3" t="s">
        <v>96</v>
      </c>
      <c r="D9" s="4">
        <v>8</v>
      </c>
      <c r="E9" s="4">
        <v>8</v>
      </c>
      <c r="F9" s="4">
        <v>6</v>
      </c>
      <c r="G9" s="4" t="str">
        <f>IF(AND(D9&gt;=7,E9&gt;=7,F9&gt;=8),"Pass","Fail")</f>
        <v>Fail</v>
      </c>
      <c r="H9" s="8">
        <v>44929</v>
      </c>
      <c r="I9" s="9">
        <v>45115</v>
      </c>
      <c r="J9" s="3">
        <f ca="1">I9-TODAY()</f>
        <v>-1024</v>
      </c>
      <c r="K9" s="4" t="str">
        <f ca="1">IF(J9&gt;=0, "-", "Overdue")</f>
        <v>Overdue</v>
      </c>
    </row>
    <row r="10" spans="1:13" outlineLevel="1" x14ac:dyDescent="0.3">
      <c r="A10" s="3"/>
      <c r="B10" s="3"/>
      <c r="C10" s="10" t="s">
        <v>100</v>
      </c>
      <c r="D10" s="4">
        <f>SUBTOTAL(5,D9:D9)</f>
        <v>8</v>
      </c>
      <c r="E10" s="4">
        <f>SUBTOTAL(5,E9:E9)</f>
        <v>8</v>
      </c>
      <c r="F10" s="4">
        <f>SUBTOTAL(5,F9:F9)</f>
        <v>6</v>
      </c>
      <c r="G10" s="4"/>
      <c r="H10" s="8"/>
      <c r="I10" s="9"/>
      <c r="J10" s="3"/>
      <c r="K10" s="4"/>
    </row>
    <row r="11" spans="1:13" outlineLevel="2" x14ac:dyDescent="0.3">
      <c r="A11" s="3" t="s">
        <v>35</v>
      </c>
      <c r="B11" s="3" t="s">
        <v>61</v>
      </c>
      <c r="C11" s="3" t="s">
        <v>95</v>
      </c>
      <c r="D11" s="4">
        <v>6</v>
      </c>
      <c r="E11" s="4">
        <v>4</v>
      </c>
      <c r="F11" s="4">
        <v>7</v>
      </c>
      <c r="G11" s="4" t="str">
        <f>IF(AND(D11&gt;=7,E11&gt;=7,F11&gt;=8),"Pass","Fail")</f>
        <v>Fail</v>
      </c>
      <c r="H11" s="8">
        <v>45116</v>
      </c>
      <c r="I11" s="9">
        <v>45302</v>
      </c>
      <c r="J11" s="3">
        <f ca="1">I11-TODAY()</f>
        <v>-837</v>
      </c>
      <c r="K11" s="4" t="str">
        <f ca="1">IF(J11&gt;=0, "-", "Overdue")</f>
        <v>Overdue</v>
      </c>
    </row>
    <row r="12" spans="1:13" outlineLevel="2" x14ac:dyDescent="0.3">
      <c r="A12" s="3" t="s">
        <v>14</v>
      </c>
      <c r="B12" s="3" t="s">
        <v>47</v>
      </c>
      <c r="C12" s="3" t="s">
        <v>95</v>
      </c>
      <c r="D12" s="4">
        <v>7</v>
      </c>
      <c r="E12" s="4">
        <v>6</v>
      </c>
      <c r="F12" s="4">
        <v>7</v>
      </c>
      <c r="G12" s="4" t="str">
        <f>IF(AND(D12&gt;=7,E12&gt;=7,F12&gt;=8),"Pass","Fail")</f>
        <v>Fail</v>
      </c>
      <c r="H12" s="8">
        <v>45118</v>
      </c>
      <c r="I12" s="9">
        <v>45304</v>
      </c>
      <c r="J12" s="3">
        <f ca="1">I12-TODAY()</f>
        <v>-835</v>
      </c>
      <c r="K12" s="4" t="str">
        <f ca="1">IF(J12&gt;=0, "-", "Overdue")</f>
        <v>Overdue</v>
      </c>
    </row>
    <row r="13" spans="1:13" outlineLevel="2" x14ac:dyDescent="0.3">
      <c r="A13" s="3" t="s">
        <v>9</v>
      </c>
      <c r="B13" s="3" t="s">
        <v>57</v>
      </c>
      <c r="C13" s="3" t="s">
        <v>95</v>
      </c>
      <c r="D13" s="4">
        <v>5</v>
      </c>
      <c r="E13" s="4">
        <v>7</v>
      </c>
      <c r="F13" s="4">
        <v>7</v>
      </c>
      <c r="G13" s="4" t="str">
        <f>IF(AND(D13&gt;=7,E13&gt;=7,F13&gt;=8),"Pass","Fail")</f>
        <v>Fail</v>
      </c>
      <c r="H13" s="8">
        <v>44942</v>
      </c>
      <c r="I13" s="9">
        <v>45128</v>
      </c>
      <c r="J13" s="3">
        <f ca="1">I13-TODAY()</f>
        <v>-1011</v>
      </c>
      <c r="K13" s="4" t="str">
        <f ca="1">IF(J13&gt;=0, "-", "Overdue")</f>
        <v>Overdue</v>
      </c>
    </row>
    <row r="14" spans="1:13" outlineLevel="1" x14ac:dyDescent="0.3">
      <c r="A14" s="3"/>
      <c r="B14" s="3"/>
      <c r="C14" s="10" t="s">
        <v>98</v>
      </c>
      <c r="D14" s="4">
        <f>SUBTOTAL(5,D11:D13)</f>
        <v>5</v>
      </c>
      <c r="E14" s="4">
        <f>SUBTOTAL(5,E11:E13)</f>
        <v>4</v>
      </c>
      <c r="F14" s="4">
        <f>SUBTOTAL(5,F11:F13)</f>
        <v>7</v>
      </c>
      <c r="G14" s="4"/>
      <c r="H14" s="8"/>
      <c r="I14" s="9"/>
      <c r="J14" s="3"/>
      <c r="K14" s="4"/>
    </row>
    <row r="15" spans="1:13" outlineLevel="2" x14ac:dyDescent="0.3">
      <c r="A15" s="3" t="s">
        <v>79</v>
      </c>
      <c r="B15" s="3" t="s">
        <v>82</v>
      </c>
      <c r="C15" s="3" t="s">
        <v>96</v>
      </c>
      <c r="D15" s="4">
        <v>6</v>
      </c>
      <c r="E15" s="4">
        <v>8</v>
      </c>
      <c r="F15" s="4">
        <v>7</v>
      </c>
      <c r="G15" s="4" t="str">
        <f>IF(AND(D15&gt;=7,E15&gt;=7,F15&gt;=8),"Pass","Fail")</f>
        <v>Fail</v>
      </c>
      <c r="H15" s="8">
        <v>45031</v>
      </c>
      <c r="I15" s="9">
        <v>45217</v>
      </c>
      <c r="J15" s="3">
        <f ca="1">I15-TODAY()</f>
        <v>-922</v>
      </c>
      <c r="K15" s="4" t="str">
        <f ca="1">IF(J15&gt;=0, "-", "Overdue")</f>
        <v>Overdue</v>
      </c>
    </row>
    <row r="16" spans="1:13" outlineLevel="1" x14ac:dyDescent="0.3">
      <c r="A16" s="3"/>
      <c r="B16" s="3"/>
      <c r="C16" s="10" t="s">
        <v>100</v>
      </c>
      <c r="D16" s="4">
        <f>SUBTOTAL(5,D15:D15)</f>
        <v>6</v>
      </c>
      <c r="E16" s="4">
        <f>SUBTOTAL(5,E15:E15)</f>
        <v>8</v>
      </c>
      <c r="F16" s="4">
        <f>SUBTOTAL(5,F15:F15)</f>
        <v>7</v>
      </c>
      <c r="G16" s="4"/>
      <c r="H16" s="8"/>
      <c r="I16" s="9"/>
      <c r="J16" s="3"/>
      <c r="K16" s="4"/>
    </row>
    <row r="17" spans="1:11" outlineLevel="2" x14ac:dyDescent="0.3">
      <c r="A17" s="3" t="s">
        <v>7</v>
      </c>
      <c r="B17" s="3" t="s">
        <v>20</v>
      </c>
      <c r="C17" s="3" t="s">
        <v>93</v>
      </c>
      <c r="D17" s="4">
        <v>6</v>
      </c>
      <c r="E17" s="4">
        <v>8</v>
      </c>
      <c r="F17" s="4">
        <v>7</v>
      </c>
      <c r="G17" s="4" t="str">
        <f>IF(AND(D17&gt;=7,E17&gt;=7,F17&gt;=8),"Pass","Fail")</f>
        <v>Fail</v>
      </c>
      <c r="H17" s="8">
        <v>45003</v>
      </c>
      <c r="I17" s="9">
        <v>45189</v>
      </c>
      <c r="J17" s="3">
        <f ca="1">I17-TODAY()</f>
        <v>-950</v>
      </c>
      <c r="K17" s="4" t="str">
        <f ca="1">IF(J17&gt;=0, "-", "Overdue")</f>
        <v>Overdue</v>
      </c>
    </row>
    <row r="18" spans="1:11" outlineLevel="2" x14ac:dyDescent="0.3">
      <c r="A18" s="3" t="s">
        <v>11</v>
      </c>
      <c r="B18" s="3" t="s">
        <v>54</v>
      </c>
      <c r="C18" s="3" t="s">
        <v>93</v>
      </c>
      <c r="D18" s="4">
        <v>7</v>
      </c>
      <c r="E18" s="4">
        <v>8</v>
      </c>
      <c r="F18" s="4">
        <v>7</v>
      </c>
      <c r="G18" s="4" t="str">
        <f>IF(AND(D18&gt;=7,E18&gt;=7,F18&gt;=8),"Pass","Fail")</f>
        <v>Fail</v>
      </c>
      <c r="H18" s="8">
        <v>45013</v>
      </c>
      <c r="I18" s="9">
        <v>45199</v>
      </c>
      <c r="J18" s="3">
        <f ca="1">I18-TODAY()</f>
        <v>-940</v>
      </c>
      <c r="K18" s="4" t="str">
        <f ca="1">IF(J18&gt;=0, "-", "Overdue")</f>
        <v>Overdue</v>
      </c>
    </row>
    <row r="19" spans="1:11" outlineLevel="2" x14ac:dyDescent="0.3">
      <c r="A19" s="3" t="s">
        <v>30</v>
      </c>
      <c r="B19" s="3" t="s">
        <v>51</v>
      </c>
      <c r="C19" s="3" t="s">
        <v>93</v>
      </c>
      <c r="D19" s="4">
        <v>8</v>
      </c>
      <c r="E19" s="4">
        <v>8</v>
      </c>
      <c r="F19" s="4">
        <v>7</v>
      </c>
      <c r="G19" s="4" t="str">
        <f>IF(AND(D19&gt;=7,E19&gt;=7,F19&gt;=8),"Pass","Fail")</f>
        <v>Fail</v>
      </c>
      <c r="H19" s="8">
        <v>45101</v>
      </c>
      <c r="I19" s="9">
        <v>45287</v>
      </c>
      <c r="J19" s="3">
        <f ca="1">I19-TODAY()</f>
        <v>-852</v>
      </c>
      <c r="K19" s="4" t="str">
        <f ca="1">IF(J19&gt;=0, "-", "Overdue")</f>
        <v>Overdue</v>
      </c>
    </row>
    <row r="20" spans="1:11" outlineLevel="1" x14ac:dyDescent="0.3">
      <c r="A20" s="3"/>
      <c r="B20" s="3"/>
      <c r="C20" s="10" t="s">
        <v>99</v>
      </c>
      <c r="D20" s="4">
        <f>SUBTOTAL(5,D17:D19)</f>
        <v>6</v>
      </c>
      <c r="E20" s="4">
        <f>SUBTOTAL(5,E17:E19)</f>
        <v>8</v>
      </c>
      <c r="F20" s="4">
        <f>SUBTOTAL(5,F17:F19)</f>
        <v>7</v>
      </c>
      <c r="G20" s="4"/>
      <c r="H20" s="8"/>
      <c r="I20" s="9"/>
      <c r="J20" s="3"/>
      <c r="K20" s="4"/>
    </row>
    <row r="21" spans="1:11" outlineLevel="2" x14ac:dyDescent="0.3">
      <c r="A21" s="3" t="s">
        <v>18</v>
      </c>
      <c r="B21" s="3" t="s">
        <v>22</v>
      </c>
      <c r="C21" s="3" t="s">
        <v>96</v>
      </c>
      <c r="D21" s="4">
        <v>8</v>
      </c>
      <c r="E21" s="4">
        <v>9</v>
      </c>
      <c r="F21" s="4">
        <v>7</v>
      </c>
      <c r="G21" s="4" t="str">
        <f>IF(AND(D21&gt;=7,E21&gt;=7,F21&gt;=8),"Pass","Fail")</f>
        <v>Fail</v>
      </c>
      <c r="H21" s="8">
        <v>45093</v>
      </c>
      <c r="I21" s="9">
        <v>45279</v>
      </c>
      <c r="J21" s="3">
        <f ca="1">I21-TODAY()</f>
        <v>-860</v>
      </c>
      <c r="K21" s="4" t="str">
        <f ca="1">IF(J21&gt;=0, "-", "Overdue")</f>
        <v>Overdue</v>
      </c>
    </row>
    <row r="22" spans="1:11" outlineLevel="1" x14ac:dyDescent="0.3">
      <c r="A22" s="3"/>
      <c r="B22" s="3"/>
      <c r="C22" s="10" t="s">
        <v>100</v>
      </c>
      <c r="D22" s="4">
        <f>SUBTOTAL(5,D21:D21)</f>
        <v>8</v>
      </c>
      <c r="E22" s="4">
        <f>SUBTOTAL(5,E21:E21)</f>
        <v>9</v>
      </c>
      <c r="F22" s="4">
        <f>SUBTOTAL(5,F21:F21)</f>
        <v>7</v>
      </c>
      <c r="G22" s="4"/>
      <c r="H22" s="8"/>
      <c r="I22" s="9"/>
      <c r="J22" s="3"/>
      <c r="K22" s="4"/>
    </row>
    <row r="23" spans="1:11" outlineLevel="2" x14ac:dyDescent="0.3">
      <c r="A23" s="3" t="s">
        <v>15</v>
      </c>
      <c r="B23" s="3" t="s">
        <v>21</v>
      </c>
      <c r="C23" s="3" t="s">
        <v>93</v>
      </c>
      <c r="D23" s="4">
        <v>7</v>
      </c>
      <c r="E23" s="4">
        <v>4</v>
      </c>
      <c r="F23" s="4">
        <v>8</v>
      </c>
      <c r="G23" s="4" t="str">
        <f>IF(AND(D23&gt;=7,E23&gt;=7,F23&gt;=8),"Pass","Fail")</f>
        <v>Fail</v>
      </c>
      <c r="H23" s="8">
        <v>45099</v>
      </c>
      <c r="I23" s="9">
        <v>45285</v>
      </c>
      <c r="J23" s="3">
        <f ca="1">I23-TODAY()</f>
        <v>-854</v>
      </c>
      <c r="K23" s="4" t="str">
        <f ca="1">IF(J23&gt;=0, "-", "Overdue")</f>
        <v>Overdue</v>
      </c>
    </row>
    <row r="24" spans="1:11" outlineLevel="1" x14ac:dyDescent="0.3">
      <c r="A24" s="3"/>
      <c r="B24" s="3"/>
      <c r="C24" s="10" t="s">
        <v>99</v>
      </c>
      <c r="D24" s="4">
        <f>SUBTOTAL(5,D23:D23)</f>
        <v>7</v>
      </c>
      <c r="E24" s="4">
        <f>SUBTOTAL(5,E23:E23)</f>
        <v>4</v>
      </c>
      <c r="F24" s="4">
        <f>SUBTOTAL(5,F23:F23)</f>
        <v>8</v>
      </c>
      <c r="G24" s="4"/>
      <c r="H24" s="8"/>
      <c r="I24" s="9"/>
      <c r="J24" s="3"/>
      <c r="K24" s="4"/>
    </row>
    <row r="25" spans="1:11" outlineLevel="2" x14ac:dyDescent="0.3">
      <c r="A25" s="3" t="s">
        <v>12</v>
      </c>
      <c r="B25" s="3" t="s">
        <v>46</v>
      </c>
      <c r="C25" s="3" t="s">
        <v>94</v>
      </c>
      <c r="D25" s="4">
        <v>8</v>
      </c>
      <c r="E25" s="4">
        <v>6</v>
      </c>
      <c r="F25" s="4">
        <v>8</v>
      </c>
      <c r="G25" s="4" t="str">
        <f>IF(AND(D25&gt;=7,E25&gt;=7,F25&gt;=8),"Pass","Fail")</f>
        <v>Fail</v>
      </c>
      <c r="H25" s="8">
        <v>45049</v>
      </c>
      <c r="I25" s="9">
        <v>45235</v>
      </c>
      <c r="J25" s="3">
        <f ca="1">I25-TODAY()</f>
        <v>-904</v>
      </c>
      <c r="K25" s="4" t="str">
        <f ca="1">IF(J25&gt;=0, "-", "Overdue")</f>
        <v>Overdue</v>
      </c>
    </row>
    <row r="26" spans="1:11" outlineLevel="2" x14ac:dyDescent="0.3">
      <c r="A26" s="3" t="s">
        <v>32</v>
      </c>
      <c r="B26" s="3" t="s">
        <v>58</v>
      </c>
      <c r="C26" s="3" t="s">
        <v>94</v>
      </c>
      <c r="D26" s="4">
        <v>7</v>
      </c>
      <c r="E26" s="4">
        <v>7</v>
      </c>
      <c r="F26" s="4">
        <v>8</v>
      </c>
      <c r="G26" s="4" t="str">
        <f>IF(AND(D26&gt;=7,E26&gt;=7,F26&gt;=8),"Pass","Fail")</f>
        <v>Pass</v>
      </c>
      <c r="H26" s="8">
        <v>44995</v>
      </c>
      <c r="I26" s="9">
        <v>45181</v>
      </c>
      <c r="J26" s="3">
        <f ca="1">I26-TODAY()</f>
        <v>-958</v>
      </c>
      <c r="K26" s="4" t="str">
        <f ca="1">IF(J26&gt;=0, "-", "Overdue")</f>
        <v>Overdue</v>
      </c>
    </row>
    <row r="27" spans="1:11" outlineLevel="1" x14ac:dyDescent="0.3">
      <c r="A27" s="3"/>
      <c r="B27" s="3"/>
      <c r="C27" s="10" t="s">
        <v>101</v>
      </c>
      <c r="D27" s="4">
        <f>SUBTOTAL(5,D25:D26)</f>
        <v>7</v>
      </c>
      <c r="E27" s="4">
        <f>SUBTOTAL(5,E25:E26)</f>
        <v>6</v>
      </c>
      <c r="F27" s="4">
        <f>SUBTOTAL(5,F25:F26)</f>
        <v>8</v>
      </c>
      <c r="G27" s="4"/>
      <c r="H27" s="8"/>
      <c r="I27" s="9"/>
      <c r="J27" s="3"/>
      <c r="K27" s="4"/>
    </row>
    <row r="28" spans="1:11" outlineLevel="2" x14ac:dyDescent="0.3">
      <c r="A28" s="3" t="s">
        <v>40</v>
      </c>
      <c r="B28" s="3" t="s">
        <v>68</v>
      </c>
      <c r="C28" s="3" t="s">
        <v>96</v>
      </c>
      <c r="D28" s="4">
        <v>7</v>
      </c>
      <c r="E28" s="4">
        <v>7</v>
      </c>
      <c r="F28" s="4">
        <v>8</v>
      </c>
      <c r="G28" s="4" t="str">
        <f>IF(AND(D28&gt;=7,E28&gt;=7,F28&gt;=8),"Pass","Fail")</f>
        <v>Pass</v>
      </c>
      <c r="H28" s="8">
        <v>45081</v>
      </c>
      <c r="I28" s="9">
        <v>45267</v>
      </c>
      <c r="J28" s="3">
        <f ca="1">I28-TODAY()</f>
        <v>-872</v>
      </c>
      <c r="K28" s="4" t="str">
        <f ca="1">IF(J28&gt;=0, "-", "Overdue")</f>
        <v>Overdue</v>
      </c>
    </row>
    <row r="29" spans="1:11" outlineLevel="1" x14ac:dyDescent="0.3">
      <c r="A29" s="3"/>
      <c r="B29" s="3"/>
      <c r="C29" s="10" t="s">
        <v>100</v>
      </c>
      <c r="D29" s="4">
        <f>SUBTOTAL(5,D28:D28)</f>
        <v>7</v>
      </c>
      <c r="E29" s="4">
        <f>SUBTOTAL(5,E28:E28)</f>
        <v>7</v>
      </c>
      <c r="F29" s="4">
        <f>SUBTOTAL(5,F28:F28)</f>
        <v>8</v>
      </c>
      <c r="G29" s="4"/>
      <c r="H29" s="8"/>
      <c r="I29" s="9"/>
      <c r="J29" s="3"/>
      <c r="K29" s="4"/>
    </row>
    <row r="30" spans="1:11" outlineLevel="2" x14ac:dyDescent="0.3">
      <c r="A30" s="3" t="s">
        <v>41</v>
      </c>
      <c r="B30" s="3" t="s">
        <v>69</v>
      </c>
      <c r="C30" s="3" t="s">
        <v>93</v>
      </c>
      <c r="D30" s="4">
        <v>7</v>
      </c>
      <c r="E30" s="4">
        <v>8</v>
      </c>
      <c r="F30" s="4">
        <v>8</v>
      </c>
      <c r="G30" s="4" t="str">
        <f>IF(AND(D30&gt;=7,E30&gt;=7,F30&gt;=8),"Pass","Fail")</f>
        <v>Pass</v>
      </c>
      <c r="H30" s="8">
        <v>45061</v>
      </c>
      <c r="I30" s="9">
        <v>45247</v>
      </c>
      <c r="J30" s="3">
        <f ca="1">I30-TODAY()</f>
        <v>-892</v>
      </c>
      <c r="K30" s="4" t="str">
        <f ca="1">IF(J30&gt;=0, "-", "Overdue")</f>
        <v>Overdue</v>
      </c>
    </row>
    <row r="31" spans="1:11" outlineLevel="1" x14ac:dyDescent="0.3">
      <c r="A31" s="3"/>
      <c r="B31" s="3"/>
      <c r="C31" s="10" t="s">
        <v>99</v>
      </c>
      <c r="D31" s="4">
        <f>SUBTOTAL(5,D30:D30)</f>
        <v>7</v>
      </c>
      <c r="E31" s="4">
        <f>SUBTOTAL(5,E30:E30)</f>
        <v>8</v>
      </c>
      <c r="F31" s="4">
        <f>SUBTOTAL(5,F30:F30)</f>
        <v>8</v>
      </c>
      <c r="G31" s="4"/>
      <c r="H31" s="8"/>
      <c r="I31" s="9"/>
      <c r="J31" s="3"/>
      <c r="K31" s="4"/>
    </row>
    <row r="32" spans="1:11" outlineLevel="2" x14ac:dyDescent="0.3">
      <c r="A32" s="3" t="s">
        <v>76</v>
      </c>
      <c r="B32" s="3" t="s">
        <v>77</v>
      </c>
      <c r="C32" s="3" t="s">
        <v>96</v>
      </c>
      <c r="D32" s="4">
        <v>8</v>
      </c>
      <c r="E32" s="4">
        <v>8</v>
      </c>
      <c r="F32" s="4">
        <v>8</v>
      </c>
      <c r="G32" s="4" t="str">
        <f>IF(AND(D32&gt;=7,E32&gt;=7,F32&gt;=8),"Pass","Fail")</f>
        <v>Pass</v>
      </c>
      <c r="H32" s="8">
        <v>44906</v>
      </c>
      <c r="I32" s="9">
        <v>45092</v>
      </c>
      <c r="J32" s="3">
        <f ca="1">I32-TODAY()</f>
        <v>-1047</v>
      </c>
      <c r="K32" s="4" t="str">
        <f ca="1">IF(J32&gt;=0, "-", "Overdue")</f>
        <v>Overdue</v>
      </c>
    </row>
    <row r="33" spans="1:11" outlineLevel="1" x14ac:dyDescent="0.3">
      <c r="A33" s="3"/>
      <c r="B33" s="3"/>
      <c r="C33" s="10" t="s">
        <v>100</v>
      </c>
      <c r="D33" s="4">
        <f>SUBTOTAL(5,D32:D32)</f>
        <v>8</v>
      </c>
      <c r="E33" s="4">
        <f>SUBTOTAL(5,E32:E32)</f>
        <v>8</v>
      </c>
      <c r="F33" s="4">
        <f>SUBTOTAL(5,F32:F32)</f>
        <v>8</v>
      </c>
      <c r="G33" s="4"/>
      <c r="H33" s="8"/>
      <c r="I33" s="9"/>
      <c r="J33" s="3"/>
      <c r="K33" s="4"/>
    </row>
    <row r="34" spans="1:11" outlineLevel="2" x14ac:dyDescent="0.3">
      <c r="A34" s="3" t="s">
        <v>16</v>
      </c>
      <c r="B34" s="3" t="s">
        <v>55</v>
      </c>
      <c r="C34" s="3" t="s">
        <v>93</v>
      </c>
      <c r="D34" s="4">
        <v>8</v>
      </c>
      <c r="E34" s="4">
        <v>8</v>
      </c>
      <c r="F34" s="4">
        <v>8</v>
      </c>
      <c r="G34" s="4" t="str">
        <f>IF(AND(D34&gt;=7,E34&gt;=7,F34&gt;=8),"Pass","Fail")</f>
        <v>Pass</v>
      </c>
      <c r="H34" s="8">
        <v>44958</v>
      </c>
      <c r="I34" s="9">
        <v>45144</v>
      </c>
      <c r="J34" s="3">
        <f ca="1">I34-TODAY()</f>
        <v>-995</v>
      </c>
      <c r="K34" s="4" t="str">
        <f ca="1">IF(J34&gt;=0, "-", "Overdue")</f>
        <v>Overdue</v>
      </c>
    </row>
    <row r="35" spans="1:11" outlineLevel="1" x14ac:dyDescent="0.3">
      <c r="A35" s="3"/>
      <c r="B35" s="3"/>
      <c r="C35" s="10" t="s">
        <v>99</v>
      </c>
      <c r="D35" s="4">
        <f>SUBTOTAL(5,D34:D34)</f>
        <v>8</v>
      </c>
      <c r="E35" s="4">
        <f>SUBTOTAL(5,E34:E34)</f>
        <v>8</v>
      </c>
      <c r="F35" s="4">
        <f>SUBTOTAL(5,F34:F34)</f>
        <v>8</v>
      </c>
      <c r="G35" s="4"/>
      <c r="H35" s="8"/>
      <c r="I35" s="9"/>
      <c r="J35" s="3"/>
      <c r="K35" s="4"/>
    </row>
    <row r="36" spans="1:11" outlineLevel="2" x14ac:dyDescent="0.3">
      <c r="A36" s="3" t="s">
        <v>80</v>
      </c>
      <c r="B36" s="3" t="s">
        <v>83</v>
      </c>
      <c r="C36" s="3" t="s">
        <v>96</v>
      </c>
      <c r="D36" s="4">
        <v>9</v>
      </c>
      <c r="E36" s="4">
        <v>8</v>
      </c>
      <c r="F36" s="4">
        <v>8</v>
      </c>
      <c r="G36" s="4" t="str">
        <f>IF(AND(D36&gt;=7,E36&gt;=7,F36&gt;=8),"Pass","Fail")</f>
        <v>Pass</v>
      </c>
      <c r="H36" s="8">
        <v>45068</v>
      </c>
      <c r="I36" s="9">
        <v>45254</v>
      </c>
      <c r="J36" s="3">
        <f ca="1">I36-TODAY()</f>
        <v>-885</v>
      </c>
      <c r="K36" s="4" t="str">
        <f ca="1">IF(J36&gt;=0, "-", "Overdue")</f>
        <v>Overdue</v>
      </c>
    </row>
    <row r="37" spans="1:11" outlineLevel="1" x14ac:dyDescent="0.3">
      <c r="A37" s="3"/>
      <c r="B37" s="3"/>
      <c r="C37" s="10" t="s">
        <v>100</v>
      </c>
      <c r="D37" s="4">
        <f>SUBTOTAL(5,D36:D36)</f>
        <v>9</v>
      </c>
      <c r="E37" s="4">
        <f>SUBTOTAL(5,E36:E36)</f>
        <v>8</v>
      </c>
      <c r="F37" s="4">
        <f>SUBTOTAL(5,F36:F36)</f>
        <v>8</v>
      </c>
      <c r="G37" s="4"/>
      <c r="H37" s="8"/>
      <c r="I37" s="9"/>
      <c r="J37" s="3"/>
      <c r="K37" s="4"/>
    </row>
    <row r="38" spans="1:11" outlineLevel="2" x14ac:dyDescent="0.3">
      <c r="A38" s="3" t="s">
        <v>31</v>
      </c>
      <c r="B38" s="3" t="s">
        <v>52</v>
      </c>
      <c r="C38" s="3" t="s">
        <v>94</v>
      </c>
      <c r="D38" s="4">
        <v>9</v>
      </c>
      <c r="E38" s="4">
        <v>8</v>
      </c>
      <c r="F38" s="4">
        <v>8</v>
      </c>
      <c r="G38" s="4" t="str">
        <f>IF(AND(D38&gt;=7,E38&gt;=7,F38&gt;=8),"Pass","Fail")</f>
        <v>Pass</v>
      </c>
      <c r="H38" s="8">
        <v>45061</v>
      </c>
      <c r="I38" s="9">
        <v>45247</v>
      </c>
      <c r="J38" s="3">
        <f ca="1">I38-TODAY()</f>
        <v>-892</v>
      </c>
      <c r="K38" s="4" t="str">
        <f ca="1">IF(J38&gt;=0, "-", "Overdue")</f>
        <v>Overdue</v>
      </c>
    </row>
    <row r="39" spans="1:11" outlineLevel="1" x14ac:dyDescent="0.3">
      <c r="A39" s="3"/>
      <c r="B39" s="3"/>
      <c r="C39" s="10" t="s">
        <v>101</v>
      </c>
      <c r="D39" s="4">
        <f>SUBTOTAL(5,D38:D38)</f>
        <v>9</v>
      </c>
      <c r="E39" s="4">
        <f>SUBTOTAL(5,E38:E38)</f>
        <v>8</v>
      </c>
      <c r="F39" s="4">
        <f>SUBTOTAL(5,F38:F38)</f>
        <v>8</v>
      </c>
      <c r="G39" s="4"/>
      <c r="H39" s="8"/>
      <c r="I39" s="9"/>
      <c r="J39" s="3"/>
      <c r="K39" s="4"/>
    </row>
    <row r="40" spans="1:11" outlineLevel="2" x14ac:dyDescent="0.3">
      <c r="A40" s="3" t="s">
        <v>37</v>
      </c>
      <c r="B40" s="3" t="s">
        <v>63</v>
      </c>
      <c r="C40" s="3" t="s">
        <v>93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45008</v>
      </c>
      <c r="I40" s="9">
        <v>45194</v>
      </c>
      <c r="J40" s="3">
        <f ca="1">I40-TODAY()</f>
        <v>-945</v>
      </c>
      <c r="K40" s="4" t="str">
        <f ca="1">IF(J40&gt;=0, "-", "Overdue")</f>
        <v>Overdue</v>
      </c>
    </row>
    <row r="41" spans="1:11" outlineLevel="1" x14ac:dyDescent="0.3">
      <c r="A41" s="3"/>
      <c r="B41" s="3"/>
      <c r="C41" s="10" t="s">
        <v>99</v>
      </c>
      <c r="D41" s="4">
        <f>SUBTOTAL(5,D40:D40)</f>
        <v>9</v>
      </c>
      <c r="E41" s="4">
        <f>SUBTOTAL(5,E40:E40)</f>
        <v>8</v>
      </c>
      <c r="F41" s="4">
        <f>SUBTOTAL(5,F40:F40)</f>
        <v>8</v>
      </c>
      <c r="G41" s="4"/>
      <c r="H41" s="8"/>
      <c r="I41" s="9"/>
      <c r="J41" s="3"/>
      <c r="K41" s="4"/>
    </row>
    <row r="42" spans="1:11" outlineLevel="2" x14ac:dyDescent="0.3">
      <c r="A42" s="3" t="s">
        <v>10</v>
      </c>
      <c r="B42" s="3" t="s">
        <v>53</v>
      </c>
      <c r="C42" s="3" t="s">
        <v>96</v>
      </c>
      <c r="D42" s="4">
        <v>9</v>
      </c>
      <c r="E42" s="4">
        <v>8</v>
      </c>
      <c r="F42" s="4">
        <v>8</v>
      </c>
      <c r="G42" s="4" t="str">
        <f>IF(AND(D42&gt;=7,E42&gt;=7,F42&gt;=8),"Pass","Fail")</f>
        <v>Pass</v>
      </c>
      <c r="H42" s="8">
        <v>45047</v>
      </c>
      <c r="I42" s="9">
        <v>45233</v>
      </c>
      <c r="J42" s="3">
        <f ca="1">I42-TODAY()</f>
        <v>-906</v>
      </c>
      <c r="K42" s="4" t="str">
        <f ca="1">IF(J42&gt;=0, "-", "Overdue")</f>
        <v>Overdue</v>
      </c>
    </row>
    <row r="43" spans="1:11" outlineLevel="1" x14ac:dyDescent="0.3">
      <c r="A43" s="3"/>
      <c r="B43" s="3"/>
      <c r="C43" s="10" t="s">
        <v>100</v>
      </c>
      <c r="D43" s="4">
        <f>SUBTOTAL(5,D42:D42)</f>
        <v>9</v>
      </c>
      <c r="E43" s="4">
        <f>SUBTOTAL(5,E42:E42)</f>
        <v>8</v>
      </c>
      <c r="F43" s="4">
        <f>SUBTOTAL(5,F42:F42)</f>
        <v>8</v>
      </c>
      <c r="G43" s="4"/>
      <c r="H43" s="8"/>
      <c r="I43" s="9"/>
      <c r="J43" s="3"/>
      <c r="K43" s="4"/>
    </row>
    <row r="44" spans="1:11" outlineLevel="2" x14ac:dyDescent="0.3">
      <c r="A44" s="3" t="s">
        <v>26</v>
      </c>
      <c r="B44" s="3" t="s">
        <v>49</v>
      </c>
      <c r="C44" s="3" t="s">
        <v>93</v>
      </c>
      <c r="D44" s="4">
        <v>7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45037</v>
      </c>
      <c r="I44" s="9">
        <v>45223</v>
      </c>
      <c r="J44" s="3">
        <f ca="1">I44-TODAY()</f>
        <v>-916</v>
      </c>
      <c r="K44" s="4" t="str">
        <f ca="1">IF(J44&gt;=0, "-", "Overdue")</f>
        <v>Overdue</v>
      </c>
    </row>
    <row r="45" spans="1:11" outlineLevel="1" x14ac:dyDescent="0.3">
      <c r="A45" s="3"/>
      <c r="B45" s="3"/>
      <c r="C45" s="10" t="s">
        <v>99</v>
      </c>
      <c r="D45" s="4">
        <f>SUBTOTAL(5,D44:D44)</f>
        <v>7</v>
      </c>
      <c r="E45" s="4">
        <f>SUBTOTAL(5,E44:E44)</f>
        <v>9</v>
      </c>
      <c r="F45" s="4">
        <f>SUBTOTAL(5,F44:F44)</f>
        <v>8</v>
      </c>
      <c r="G45" s="4"/>
      <c r="H45" s="8"/>
      <c r="I45" s="9"/>
      <c r="J45" s="3"/>
      <c r="K45" s="4"/>
    </row>
    <row r="46" spans="1:11" outlineLevel="2" x14ac:dyDescent="0.3">
      <c r="A46" s="3" t="s">
        <v>33</v>
      </c>
      <c r="B46" s="3" t="s">
        <v>59</v>
      </c>
      <c r="C46" s="3" t="s">
        <v>96</v>
      </c>
      <c r="D46" s="4">
        <v>7</v>
      </c>
      <c r="E46" s="4">
        <v>9</v>
      </c>
      <c r="F46" s="4">
        <v>8</v>
      </c>
      <c r="G46" s="4" t="str">
        <f>IF(AND(D46&gt;=7,E46&gt;=7,F46&gt;=8),"Pass","Fail")</f>
        <v>Pass</v>
      </c>
      <c r="H46" s="8">
        <v>45087</v>
      </c>
      <c r="I46" s="9">
        <v>45273</v>
      </c>
      <c r="J46" s="3">
        <f ca="1">I46-TODAY()</f>
        <v>-866</v>
      </c>
      <c r="K46" s="4" t="str">
        <f ca="1">IF(J46&gt;=0, "-", "Overdue")</f>
        <v>Overdue</v>
      </c>
    </row>
    <row r="47" spans="1:11" outlineLevel="1" x14ac:dyDescent="0.3">
      <c r="A47" s="3"/>
      <c r="B47" s="3"/>
      <c r="C47" s="10" t="s">
        <v>100</v>
      </c>
      <c r="D47" s="4">
        <f>SUBTOTAL(5,D46:D46)</f>
        <v>7</v>
      </c>
      <c r="E47" s="4">
        <f>SUBTOTAL(5,E46:E46)</f>
        <v>9</v>
      </c>
      <c r="F47" s="4">
        <f>SUBTOTAL(5,F46:F46)</f>
        <v>8</v>
      </c>
      <c r="G47" s="4"/>
      <c r="H47" s="8"/>
      <c r="I47" s="9"/>
      <c r="J47" s="3"/>
      <c r="K47" s="4"/>
    </row>
    <row r="48" spans="1:11" outlineLevel="2" x14ac:dyDescent="0.3">
      <c r="A48" s="3" t="s">
        <v>43</v>
      </c>
      <c r="B48" s="3" t="s">
        <v>71</v>
      </c>
      <c r="C48" s="3" t="s">
        <v>94</v>
      </c>
      <c r="D48" s="4">
        <v>8</v>
      </c>
      <c r="E48" s="4">
        <v>9</v>
      </c>
      <c r="F48" s="4">
        <v>8</v>
      </c>
      <c r="G48" s="4" t="str">
        <f>IF(AND(D48&gt;=7,E48&gt;=7,F48&gt;=8),"Pass","Fail")</f>
        <v>Pass</v>
      </c>
      <c r="H48" s="8">
        <v>45101</v>
      </c>
      <c r="I48" s="9">
        <v>45287</v>
      </c>
      <c r="J48" s="3">
        <f ca="1">I48-TODAY()</f>
        <v>-852</v>
      </c>
      <c r="K48" s="4" t="str">
        <f ca="1">IF(J48&gt;=0, "-", "Overdue")</f>
        <v>Overdue</v>
      </c>
    </row>
    <row r="49" spans="1:11" outlineLevel="2" x14ac:dyDescent="0.3">
      <c r="A49" s="3" t="s">
        <v>38</v>
      </c>
      <c r="B49" s="3" t="s">
        <v>64</v>
      </c>
      <c r="C49" s="3" t="s">
        <v>94</v>
      </c>
      <c r="D49" s="4">
        <v>8</v>
      </c>
      <c r="E49" s="4">
        <v>9</v>
      </c>
      <c r="F49" s="4">
        <v>8</v>
      </c>
      <c r="G49" s="4" t="str">
        <f>IF(AND(D49&gt;=7,E49&gt;=7,F49&gt;=8),"Pass","Fail")</f>
        <v>Pass</v>
      </c>
      <c r="H49" s="8">
        <v>45134</v>
      </c>
      <c r="I49" s="9">
        <v>45320</v>
      </c>
      <c r="J49" s="3">
        <f ca="1">I49-TODAY()</f>
        <v>-819</v>
      </c>
      <c r="K49" s="4" t="str">
        <f ca="1">IF(J49&gt;=0, "-", "Overdue")</f>
        <v>Overdue</v>
      </c>
    </row>
    <row r="50" spans="1:11" outlineLevel="1" x14ac:dyDescent="0.3">
      <c r="A50" s="3"/>
      <c r="B50" s="3"/>
      <c r="C50" s="10" t="s">
        <v>101</v>
      </c>
      <c r="D50" s="4">
        <f>SUBTOTAL(5,D48:D49)</f>
        <v>8</v>
      </c>
      <c r="E50" s="4">
        <f>SUBTOTAL(5,E48:E49)</f>
        <v>9</v>
      </c>
      <c r="F50" s="4">
        <f>SUBTOTAL(5,F48:F49)</f>
        <v>8</v>
      </c>
      <c r="G50" s="4"/>
      <c r="H50" s="8"/>
      <c r="I50" s="9"/>
      <c r="J50" s="3"/>
      <c r="K50" s="4"/>
    </row>
    <row r="51" spans="1:11" outlineLevel="2" x14ac:dyDescent="0.3">
      <c r="A51" s="3" t="s">
        <v>90</v>
      </c>
      <c r="B51" s="3" t="s">
        <v>91</v>
      </c>
      <c r="C51" s="3" t="s">
        <v>93</v>
      </c>
      <c r="D51" s="4">
        <v>8</v>
      </c>
      <c r="E51" s="4">
        <v>9</v>
      </c>
      <c r="F51" s="4">
        <v>8</v>
      </c>
      <c r="G51" s="4" t="str">
        <f>IF(AND(D51&gt;=7,E51&gt;=7,F51&gt;=8),"Pass","Fail")</f>
        <v>Pass</v>
      </c>
      <c r="H51" s="8">
        <v>44988</v>
      </c>
      <c r="I51" s="9">
        <v>45174</v>
      </c>
      <c r="J51" s="3">
        <f ca="1">I51-TODAY()</f>
        <v>-965</v>
      </c>
      <c r="K51" s="4" t="str">
        <f ca="1">IF(J51&gt;=0, "-", "Overdue")</f>
        <v>Overdue</v>
      </c>
    </row>
    <row r="52" spans="1:11" outlineLevel="1" x14ac:dyDescent="0.3">
      <c r="A52" s="3"/>
      <c r="B52" s="3"/>
      <c r="C52" s="10" t="s">
        <v>99</v>
      </c>
      <c r="D52" s="4">
        <f>SUBTOTAL(5,D51:D51)</f>
        <v>8</v>
      </c>
      <c r="E52" s="4">
        <f>SUBTOTAL(5,E51:E51)</f>
        <v>9</v>
      </c>
      <c r="F52" s="4">
        <f>SUBTOTAL(5,F51:F51)</f>
        <v>8</v>
      </c>
      <c r="G52" s="4"/>
      <c r="H52" s="8"/>
      <c r="I52" s="9"/>
      <c r="J52" s="3"/>
      <c r="K52" s="4"/>
    </row>
    <row r="53" spans="1:11" outlineLevel="2" x14ac:dyDescent="0.3">
      <c r="A53" s="3" t="s">
        <v>8</v>
      </c>
      <c r="B53" s="3" t="s">
        <v>24</v>
      </c>
      <c r="C53" s="3" t="s">
        <v>94</v>
      </c>
      <c r="D53" s="4">
        <v>8</v>
      </c>
      <c r="E53" s="4">
        <v>9</v>
      </c>
      <c r="F53" s="4">
        <v>8</v>
      </c>
      <c r="G53" s="4" t="str">
        <f>IF(AND(D53&gt;=7,E53&gt;=7,F53&gt;=8),"Pass","Fail")</f>
        <v>Pass</v>
      </c>
      <c r="H53" s="8">
        <v>45014</v>
      </c>
      <c r="I53" s="9">
        <v>45200</v>
      </c>
      <c r="J53" s="3">
        <f ca="1">I53-TODAY()</f>
        <v>-939</v>
      </c>
      <c r="K53" s="4" t="str">
        <f ca="1">IF(J53&gt;=0, "-", "Overdue")</f>
        <v>Overdue</v>
      </c>
    </row>
    <row r="54" spans="1:11" outlineLevel="1" x14ac:dyDescent="0.3">
      <c r="A54" s="3"/>
      <c r="B54" s="3"/>
      <c r="C54" s="10" t="s">
        <v>101</v>
      </c>
      <c r="D54" s="4">
        <f>SUBTOTAL(5,D53:D53)</f>
        <v>8</v>
      </c>
      <c r="E54" s="4">
        <f>SUBTOTAL(5,E53:E53)</f>
        <v>9</v>
      </c>
      <c r="F54" s="4">
        <f>SUBTOTAL(5,F53:F53)</f>
        <v>8</v>
      </c>
      <c r="G54" s="4"/>
      <c r="H54" s="8"/>
      <c r="I54" s="9"/>
      <c r="J54" s="3"/>
      <c r="K54" s="4"/>
    </row>
    <row r="55" spans="1:11" outlineLevel="2" x14ac:dyDescent="0.3">
      <c r="A55" s="3" t="s">
        <v>36</v>
      </c>
      <c r="B55" s="3" t="s">
        <v>62</v>
      </c>
      <c r="C55" s="3" t="s">
        <v>96</v>
      </c>
      <c r="D55" s="4">
        <v>9</v>
      </c>
      <c r="E55" s="4">
        <v>9</v>
      </c>
      <c r="F55" s="4">
        <v>8</v>
      </c>
      <c r="G55" s="4" t="str">
        <f>IF(AND(D55&gt;=7,E55&gt;=7,F55&gt;=8),"Pass","Fail")</f>
        <v>Pass</v>
      </c>
      <c r="H55" s="8">
        <v>44898</v>
      </c>
      <c r="I55" s="9">
        <v>45084</v>
      </c>
      <c r="J55" s="3">
        <f ca="1">I55-TODAY()</f>
        <v>-1055</v>
      </c>
      <c r="K55" s="4" t="str">
        <f ca="1">IF(J55&gt;=0, "-", "Overdue")</f>
        <v>Overdue</v>
      </c>
    </row>
    <row r="56" spans="1:11" outlineLevel="1" x14ac:dyDescent="0.3">
      <c r="A56" s="3"/>
      <c r="B56" s="3"/>
      <c r="C56" s="10" t="s">
        <v>100</v>
      </c>
      <c r="D56" s="4">
        <f>SUBTOTAL(5,D55:D55)</f>
        <v>9</v>
      </c>
      <c r="E56" s="4">
        <f>SUBTOTAL(5,E55:E55)</f>
        <v>9</v>
      </c>
      <c r="F56" s="4">
        <f>SUBTOTAL(5,F55:F55)</f>
        <v>8</v>
      </c>
      <c r="G56" s="4"/>
      <c r="H56" s="8"/>
      <c r="I56" s="9"/>
      <c r="J56" s="3"/>
      <c r="K56" s="4"/>
    </row>
    <row r="57" spans="1:11" outlineLevel="2" x14ac:dyDescent="0.3">
      <c r="A57" s="3" t="s">
        <v>19</v>
      </c>
      <c r="B57" s="3" t="s">
        <v>23</v>
      </c>
      <c r="C57" s="3" t="s">
        <v>94</v>
      </c>
      <c r="D57" s="4">
        <v>9</v>
      </c>
      <c r="E57" s="4">
        <v>7</v>
      </c>
      <c r="F57" s="4">
        <v>9</v>
      </c>
      <c r="G57" s="4" t="str">
        <f>IF(AND(D57&gt;=7,E57&gt;=7,F57&gt;=8),"Pass","Fail")</f>
        <v>Pass</v>
      </c>
      <c r="H57" s="8">
        <v>44991</v>
      </c>
      <c r="I57" s="9">
        <v>45177</v>
      </c>
      <c r="J57" s="3">
        <f ca="1">I57-TODAY()</f>
        <v>-962</v>
      </c>
      <c r="K57" s="4" t="str">
        <f ca="1">IF(J57&gt;=0, "-", "Overdue")</f>
        <v>Overdue</v>
      </c>
    </row>
    <row r="58" spans="1:11" outlineLevel="1" x14ac:dyDescent="0.3">
      <c r="A58" s="3"/>
      <c r="B58" s="3"/>
      <c r="C58" s="10" t="s">
        <v>101</v>
      </c>
      <c r="D58" s="4">
        <f>SUBTOTAL(5,D57:D57)</f>
        <v>9</v>
      </c>
      <c r="E58" s="4">
        <f>SUBTOTAL(5,E57:E57)</f>
        <v>7</v>
      </c>
      <c r="F58" s="4">
        <f>SUBTOTAL(5,F57:F57)</f>
        <v>9</v>
      </c>
      <c r="G58" s="4"/>
      <c r="H58" s="8"/>
      <c r="I58" s="9"/>
      <c r="J58" s="3"/>
      <c r="K58" s="4"/>
    </row>
    <row r="59" spans="1:11" outlineLevel="2" x14ac:dyDescent="0.3">
      <c r="A59" s="3" t="s">
        <v>34</v>
      </c>
      <c r="B59" s="3" t="s">
        <v>60</v>
      </c>
      <c r="C59" s="3" t="s">
        <v>93</v>
      </c>
      <c r="D59" s="4">
        <v>7</v>
      </c>
      <c r="E59" s="4">
        <v>8</v>
      </c>
      <c r="F59" s="4">
        <v>9</v>
      </c>
      <c r="G59" s="4" t="str">
        <f>IF(AND(D59&gt;=7,E59&gt;=7,F59&gt;=8),"Pass","Fail")</f>
        <v>Pass</v>
      </c>
      <c r="H59" s="8">
        <v>44987</v>
      </c>
      <c r="I59" s="9">
        <v>45173</v>
      </c>
      <c r="J59" s="3">
        <f ca="1">I59-TODAY()</f>
        <v>-966</v>
      </c>
      <c r="K59" s="4" t="str">
        <f ca="1">IF(J59&gt;=0, "-", "Overdue")</f>
        <v>Overdue</v>
      </c>
    </row>
    <row r="60" spans="1:11" outlineLevel="1" x14ac:dyDescent="0.3">
      <c r="A60" s="3"/>
      <c r="B60" s="3"/>
      <c r="C60" s="10" t="s">
        <v>99</v>
      </c>
      <c r="D60" s="4">
        <f>SUBTOTAL(5,D59:D59)</f>
        <v>7</v>
      </c>
      <c r="E60" s="4">
        <f>SUBTOTAL(5,E59:E59)</f>
        <v>8</v>
      </c>
      <c r="F60" s="4">
        <f>SUBTOTAL(5,F59:F59)</f>
        <v>9</v>
      </c>
      <c r="G60" s="4"/>
      <c r="H60" s="8"/>
      <c r="I60" s="9"/>
      <c r="J60" s="3"/>
      <c r="K60" s="4"/>
    </row>
    <row r="61" spans="1:11" outlineLevel="2" x14ac:dyDescent="0.3">
      <c r="A61" s="3" t="s">
        <v>13</v>
      </c>
      <c r="B61" s="3" t="s">
        <v>25</v>
      </c>
      <c r="C61" s="3" t="s">
        <v>94</v>
      </c>
      <c r="D61" s="4">
        <v>7</v>
      </c>
      <c r="E61" s="4">
        <v>8</v>
      </c>
      <c r="F61" s="4">
        <v>9</v>
      </c>
      <c r="G61" s="4" t="str">
        <f>IF(AND(D61&gt;=7,E61&gt;=7,F61&gt;=8),"Pass","Fail")</f>
        <v>Pass</v>
      </c>
      <c r="H61" s="8">
        <v>45029</v>
      </c>
      <c r="I61" s="9">
        <v>45215</v>
      </c>
      <c r="J61" s="3">
        <f ca="1">I61-TODAY()</f>
        <v>-924</v>
      </c>
      <c r="K61" s="4" t="str">
        <f ca="1">IF(J61&gt;=0, "-", "Overdue")</f>
        <v>Overdue</v>
      </c>
    </row>
    <row r="62" spans="1:11" outlineLevel="2" x14ac:dyDescent="0.3">
      <c r="A62" s="3" t="s">
        <v>86</v>
      </c>
      <c r="B62" s="3" t="s">
        <v>87</v>
      </c>
      <c r="C62" s="3" t="s">
        <v>94</v>
      </c>
      <c r="D62" s="4">
        <v>8</v>
      </c>
      <c r="E62" s="4">
        <v>8</v>
      </c>
      <c r="F62" s="4">
        <v>9</v>
      </c>
      <c r="G62" s="4" t="str">
        <f>IF(AND(D62&gt;=7,E62&gt;=7,F62&gt;=8),"Pass","Fail")</f>
        <v>Pass</v>
      </c>
      <c r="H62" s="8">
        <v>45092</v>
      </c>
      <c r="I62" s="9">
        <v>45278</v>
      </c>
      <c r="J62" s="3">
        <f ca="1">I62-TODAY()</f>
        <v>-861</v>
      </c>
      <c r="K62" s="4" t="str">
        <f ca="1">IF(J62&gt;=0, "-", "Overdue")</f>
        <v>Overdue</v>
      </c>
    </row>
    <row r="63" spans="1:11" outlineLevel="2" x14ac:dyDescent="0.3">
      <c r="A63" s="3" t="s">
        <v>44</v>
      </c>
      <c r="B63" s="3" t="s">
        <v>72</v>
      </c>
      <c r="C63" s="3" t="s">
        <v>94</v>
      </c>
      <c r="D63" s="4">
        <v>8</v>
      </c>
      <c r="E63" s="4">
        <v>8</v>
      </c>
      <c r="F63" s="4">
        <v>9</v>
      </c>
      <c r="G63" s="4" t="str">
        <f>IF(AND(D63&gt;=7,E63&gt;=7,F63&gt;=8),"Pass","Fail")</f>
        <v>Pass</v>
      </c>
      <c r="H63" s="8">
        <v>45108</v>
      </c>
      <c r="I63" s="9">
        <v>45294</v>
      </c>
      <c r="J63" s="3">
        <f ca="1">I63-TODAY()</f>
        <v>-845</v>
      </c>
      <c r="K63" s="4" t="str">
        <f ca="1">IF(J63&gt;=0, "-", "Overdue")</f>
        <v>Overdue</v>
      </c>
    </row>
    <row r="64" spans="1:11" outlineLevel="1" x14ac:dyDescent="0.3">
      <c r="A64" s="3"/>
      <c r="B64" s="3"/>
      <c r="C64" s="10" t="s">
        <v>101</v>
      </c>
      <c r="D64" s="4">
        <f>SUBTOTAL(5,D61:D63)</f>
        <v>7</v>
      </c>
      <c r="E64" s="4">
        <f>SUBTOTAL(5,E61:E63)</f>
        <v>8</v>
      </c>
      <c r="F64" s="4">
        <f>SUBTOTAL(5,F61:F63)</f>
        <v>9</v>
      </c>
      <c r="G64" s="4"/>
      <c r="H64" s="8"/>
      <c r="I64" s="9"/>
      <c r="J64" s="3"/>
      <c r="K64" s="4"/>
    </row>
    <row r="65" spans="1:11" outlineLevel="2" x14ac:dyDescent="0.3">
      <c r="A65" s="3" t="s">
        <v>27</v>
      </c>
      <c r="B65" s="3" t="s">
        <v>56</v>
      </c>
      <c r="C65" s="3" t="s">
        <v>96</v>
      </c>
      <c r="D65" s="4">
        <v>9</v>
      </c>
      <c r="E65" s="4">
        <v>8</v>
      </c>
      <c r="F65" s="4">
        <v>9</v>
      </c>
      <c r="G65" s="4" t="str">
        <f>IF(AND(D65&gt;=7,E65&gt;=7,F65&gt;=8),"Pass","Fail")</f>
        <v>Pass</v>
      </c>
      <c r="H65" s="8">
        <v>45118</v>
      </c>
      <c r="I65" s="9">
        <v>45304</v>
      </c>
      <c r="J65" s="3">
        <f ca="1">I65-TODAY()</f>
        <v>-835</v>
      </c>
      <c r="K65" s="4" t="str">
        <f ca="1">IF(J65&gt;=0, "-", "Overdue")</f>
        <v>Overdue</v>
      </c>
    </row>
    <row r="66" spans="1:11" outlineLevel="1" x14ac:dyDescent="0.3">
      <c r="A66" s="3"/>
      <c r="B66" s="3"/>
      <c r="C66" s="10" t="s">
        <v>100</v>
      </c>
      <c r="D66" s="4">
        <f>SUBTOTAL(5,D65:D65)</f>
        <v>9</v>
      </c>
      <c r="E66" s="4">
        <f>SUBTOTAL(5,E65:E65)</f>
        <v>8</v>
      </c>
      <c r="F66" s="4">
        <f>SUBTOTAL(5,F65:F65)</f>
        <v>9</v>
      </c>
      <c r="G66" s="4"/>
      <c r="H66" s="8"/>
      <c r="I66" s="9"/>
      <c r="J66" s="3"/>
      <c r="K66" s="4"/>
    </row>
    <row r="67" spans="1:11" outlineLevel="2" x14ac:dyDescent="0.3">
      <c r="A67" s="3" t="s">
        <v>88</v>
      </c>
      <c r="B67" s="3" t="s">
        <v>89</v>
      </c>
      <c r="C67" s="3" t="s">
        <v>94</v>
      </c>
      <c r="D67" s="4">
        <v>9</v>
      </c>
      <c r="E67" s="4">
        <v>8</v>
      </c>
      <c r="F67" s="4">
        <v>9</v>
      </c>
      <c r="G67" s="4" t="str">
        <f>IF(AND(D67&gt;=7,E67&gt;=7,F67&gt;=8),"Pass","Fail")</f>
        <v>Pass</v>
      </c>
      <c r="H67" s="8">
        <v>45119</v>
      </c>
      <c r="I67" s="9">
        <v>45305</v>
      </c>
      <c r="J67" s="3">
        <f ca="1">I67-TODAY()</f>
        <v>-834</v>
      </c>
      <c r="K67" s="4" t="str">
        <f ca="1">IF(J67&gt;=0, "-", "Overdue")</f>
        <v>Overdue</v>
      </c>
    </row>
    <row r="68" spans="1:11" outlineLevel="2" x14ac:dyDescent="0.3">
      <c r="A68" s="3" t="s">
        <v>42</v>
      </c>
      <c r="B68" s="3" t="s">
        <v>70</v>
      </c>
      <c r="C68" s="3" t="s">
        <v>94</v>
      </c>
      <c r="D68" s="4">
        <v>9</v>
      </c>
      <c r="E68" s="4">
        <v>8</v>
      </c>
      <c r="F68" s="4">
        <v>9</v>
      </c>
      <c r="G68" s="4" t="str">
        <f>IF(AND(D68&gt;=7,E68&gt;=7,F68&gt;=8),"Pass","Fail")</f>
        <v>Pass</v>
      </c>
      <c r="H68" s="8">
        <v>45029</v>
      </c>
      <c r="I68" s="9">
        <v>45215</v>
      </c>
      <c r="J68" s="3">
        <f ca="1">I68-TODAY()</f>
        <v>-924</v>
      </c>
      <c r="K68" s="4" t="str">
        <f ca="1">IF(J68&gt;=0, "-", "Overdue")</f>
        <v>Overdue</v>
      </c>
    </row>
    <row r="69" spans="1:11" outlineLevel="1" x14ac:dyDescent="0.3">
      <c r="A69" s="3"/>
      <c r="B69" s="3"/>
      <c r="C69" s="10" t="s">
        <v>101</v>
      </c>
      <c r="D69" s="4">
        <f>SUBTOTAL(5,D67:D68)</f>
        <v>9</v>
      </c>
      <c r="E69" s="4">
        <f>SUBTOTAL(5,E67:E68)</f>
        <v>8</v>
      </c>
      <c r="F69" s="4">
        <f>SUBTOTAL(5,F67:F68)</f>
        <v>9</v>
      </c>
      <c r="G69" s="4"/>
      <c r="H69" s="8"/>
      <c r="I69" s="9"/>
      <c r="J69" s="3"/>
      <c r="K69" s="4"/>
    </row>
    <row r="70" spans="1:11" outlineLevel="2" x14ac:dyDescent="0.3">
      <c r="A70" s="3" t="s">
        <v>29</v>
      </c>
      <c r="B70" s="3" t="s">
        <v>50</v>
      </c>
      <c r="C70" s="3" t="s">
        <v>95</v>
      </c>
      <c r="D70" s="4">
        <v>8</v>
      </c>
      <c r="E70" s="4">
        <v>9</v>
      </c>
      <c r="F70" s="4">
        <v>9</v>
      </c>
      <c r="G70" s="4" t="str">
        <f>IF(AND(D70&gt;=7,E70&gt;=7,F70&gt;=8),"Pass","Fail")</f>
        <v>Pass</v>
      </c>
      <c r="H70" s="8">
        <v>45068</v>
      </c>
      <c r="I70" s="9">
        <v>45254</v>
      </c>
      <c r="J70" s="3">
        <f ca="1">I70-TODAY()</f>
        <v>-885</v>
      </c>
      <c r="K70" s="4" t="str">
        <f ca="1">IF(J70&gt;=0, "-", "Overdue")</f>
        <v>Overdue</v>
      </c>
    </row>
    <row r="71" spans="1:11" outlineLevel="2" x14ac:dyDescent="0.3">
      <c r="A71" s="3" t="s">
        <v>39</v>
      </c>
      <c r="B71" s="3" t="s">
        <v>65</v>
      </c>
      <c r="C71" s="3" t="s">
        <v>95</v>
      </c>
      <c r="D71" s="4">
        <v>9</v>
      </c>
      <c r="E71" s="4">
        <v>9</v>
      </c>
      <c r="F71" s="4">
        <v>9</v>
      </c>
      <c r="G71" s="4" t="str">
        <f>IF(AND(D71&gt;=7,E71&gt;=7,F71&gt;=8),"Pass","Fail")</f>
        <v>Pass</v>
      </c>
      <c r="H71" s="8">
        <v>44962</v>
      </c>
      <c r="I71" s="9">
        <v>45148</v>
      </c>
      <c r="J71" s="3">
        <f ca="1">I71-TODAY()</f>
        <v>-991</v>
      </c>
      <c r="K71" s="4" t="str">
        <f ca="1">IF(J71&gt;=0, "-", "Overdue")</f>
        <v>Overdue</v>
      </c>
    </row>
    <row r="72" spans="1:11" outlineLevel="1" x14ac:dyDescent="0.3">
      <c r="A72" s="3"/>
      <c r="B72" s="3"/>
      <c r="C72" s="10" t="s">
        <v>98</v>
      </c>
      <c r="D72" s="4">
        <f>SUBTOTAL(5,D70:D71)</f>
        <v>8</v>
      </c>
      <c r="E72" s="4">
        <f>SUBTOTAL(5,E70:E71)</f>
        <v>9</v>
      </c>
      <c r="F72" s="4">
        <f>SUBTOTAL(5,F70:F71)</f>
        <v>9</v>
      </c>
      <c r="G72" s="4"/>
      <c r="H72" s="8"/>
      <c r="I72" s="9"/>
      <c r="J72" s="3"/>
      <c r="K72" s="4"/>
    </row>
    <row r="73" spans="1:11" outlineLevel="2" x14ac:dyDescent="0.3">
      <c r="A73" s="3" t="s">
        <v>74</v>
      </c>
      <c r="B73" s="3" t="s">
        <v>75</v>
      </c>
      <c r="C73" s="3" t="s">
        <v>93</v>
      </c>
      <c r="D73" s="4">
        <v>9</v>
      </c>
      <c r="E73" s="4">
        <v>9</v>
      </c>
      <c r="F73" s="4">
        <v>9</v>
      </c>
      <c r="G73" s="4" t="str">
        <f>IF(AND(D73&gt;=7,E73&gt;=7,F73&gt;=8),"Pass","Fail")</f>
        <v>Pass</v>
      </c>
      <c r="H73" s="8">
        <v>45081</v>
      </c>
      <c r="I73" s="9">
        <v>45267</v>
      </c>
      <c r="J73" s="3">
        <f ca="1">I73-TODAY()</f>
        <v>-872</v>
      </c>
      <c r="K73" s="4" t="str">
        <f ca="1">IF(J73&gt;=0, "-", "Overdue")</f>
        <v>Overdue</v>
      </c>
    </row>
    <row r="74" spans="1:11" outlineLevel="1" x14ac:dyDescent="0.3">
      <c r="A74" s="11"/>
      <c r="B74" s="11"/>
      <c r="C74" s="15" t="s">
        <v>99</v>
      </c>
      <c r="D74" s="12">
        <f>SUBTOTAL(5,D73:D73)</f>
        <v>9</v>
      </c>
      <c r="E74" s="12">
        <f>SUBTOTAL(5,E73:E73)</f>
        <v>9</v>
      </c>
      <c r="F74" s="12">
        <f>SUBTOTAL(5,F73:F73)</f>
        <v>9</v>
      </c>
      <c r="G74" s="12"/>
      <c r="H74" s="13"/>
      <c r="I74" s="14"/>
      <c r="J74" s="11"/>
      <c r="K74" s="12"/>
    </row>
    <row r="75" spans="1:11" x14ac:dyDescent="0.3">
      <c r="A75" s="11"/>
      <c r="B75" s="11"/>
      <c r="C75" s="15" t="s">
        <v>102</v>
      </c>
      <c r="D75" s="12">
        <f>SUBTOTAL(5,D4:D73)</f>
        <v>5</v>
      </c>
      <c r="E75" s="12">
        <f>SUBTOTAL(5,E4:E73)</f>
        <v>4</v>
      </c>
      <c r="F75" s="12">
        <f>SUBTOTAL(5,F4:F73)</f>
        <v>4</v>
      </c>
      <c r="G75" s="12"/>
      <c r="H75" s="13"/>
      <c r="I75" s="14"/>
      <c r="J75" s="11"/>
      <c r="K75" s="12"/>
    </row>
  </sheetData>
  <sortState xmlns:xlrd2="http://schemas.microsoft.com/office/spreadsheetml/2017/richdata2" ref="A4:K73">
    <sortCondition ref="A4"/>
  </sortState>
  <conditionalFormatting sqref="K4:K75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  <rowBreaks count="30" manualBreakCount="30">
    <brk id="6" max="16383" man="1"/>
    <brk id="8" max="16383" man="1"/>
    <brk id="10" max="16383" man="1"/>
    <brk id="14" max="16383" man="1"/>
    <brk id="16" max="16383" man="1"/>
    <brk id="20" max="16383" man="1"/>
    <brk id="22" max="16383" man="1"/>
    <brk id="24" max="16383" man="1"/>
    <brk id="27" max="16383" man="1"/>
    <brk id="29" max="16383" man="1"/>
    <brk id="31" max="16383" man="1"/>
    <brk id="33" max="16383" man="1"/>
    <brk id="35" max="16383" man="1"/>
    <brk id="37" max="16383" man="1"/>
    <brk id="39" max="16383" man="1"/>
    <brk id="41" max="16383" man="1"/>
    <brk id="43" max="16383" man="1"/>
    <brk id="45" max="16383" man="1"/>
    <brk id="47" max="16383" man="1"/>
    <brk id="50" max="16383" man="1"/>
    <brk id="52" max="16383" man="1"/>
    <brk id="54" max="16383" man="1"/>
    <brk id="56" max="16383" man="1"/>
    <brk id="58" max="16383" man="1"/>
    <brk id="60" max="16383" man="1"/>
    <brk id="64" max="16383" man="1"/>
    <brk id="66" max="16383" man="1"/>
    <brk id="69" max="16383" man="1"/>
    <brk id="72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Muhammed Danish</cp:lastModifiedBy>
  <dcterms:created xsi:type="dcterms:W3CDTF">2018-02-26T16:29:15Z</dcterms:created>
  <dcterms:modified xsi:type="dcterms:W3CDTF">2026-04-27T06:31:00Z</dcterms:modified>
</cp:coreProperties>
</file>