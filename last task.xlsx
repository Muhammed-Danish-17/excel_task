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860ac7068deaf6/Desktop/EXCEL/"/>
    </mc:Choice>
  </mc:AlternateContent>
  <xr:revisionPtr revIDLastSave="0" documentId="8_{650B1951-069D-4787-B93E-54FAA3B18C6C}" xr6:coauthVersionLast="47" xr6:coauthVersionMax="47" xr10:uidLastSave="{00000000-0000-0000-0000-000000000000}"/>
  <bookViews>
    <workbookView xWindow="-108" yWindow="-108" windowWidth="23256" windowHeight="12456" xr2:uid="{3E9EEAC4-37CB-4BF1-BFAF-7EDED5AFB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3" i="1"/>
  <c r="N2" i="1"/>
  <c r="M4" i="1"/>
  <c r="M3" i="1"/>
  <c r="M2" i="1"/>
  <c r="L4" i="1"/>
  <c r="L3" i="1"/>
  <c r="L2" i="1"/>
  <c r="I5" i="1"/>
  <c r="I4" i="1"/>
  <c r="I3" i="1"/>
  <c r="H5" i="1"/>
  <c r="H4" i="1"/>
  <c r="H3" i="1"/>
  <c r="G5" i="1"/>
  <c r="G4" i="1"/>
  <c r="G3" i="1"/>
  <c r="B11" i="1"/>
  <c r="B8" i="1"/>
  <c r="B9" i="1" s="1"/>
  <c r="B10" i="1" s="1"/>
  <c r="B7" i="1"/>
  <c r="B6" i="1"/>
</calcChain>
</file>

<file path=xl/sharedStrings.xml><?xml version="1.0" encoding="utf-8"?>
<sst xmlns="http://schemas.openxmlformats.org/spreadsheetml/2006/main" count="14" uniqueCount="14">
  <si>
    <t>Description</t>
  </si>
  <si>
    <t>Value</t>
  </si>
  <si>
    <t>Selling Price per Unit</t>
  </si>
  <si>
    <t>Cost per Unit</t>
  </si>
  <si>
    <t>Fixed Cost</t>
  </si>
  <si>
    <t>Target Profit</t>
  </si>
  <si>
    <t>Number of Unit Sell</t>
  </si>
  <si>
    <t>Total Revenue</t>
  </si>
  <si>
    <t>Total Variable Cost</t>
  </si>
  <si>
    <t>Total Costs</t>
  </si>
  <si>
    <t>Profit</t>
  </si>
  <si>
    <t>Loan Rate</t>
  </si>
  <si>
    <t>price/unit</t>
  </si>
  <si>
    <t>COGS/Units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</si>
</sst>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center" indent="6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6"/>
    </xf>
    <xf numFmtId="0" fontId="2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wrapText="1" indent="6"/>
    </xf>
    <xf numFmtId="0" fontId="2" fillId="0" borderId="0" xfId="0" applyFont="1" applyAlignment="1">
      <alignment horizontal="left" vertical="center" wrapText="1" indent="6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top"/>
    </xf>
    <xf numFmtId="0" fontId="1" fillId="2" borderId="0" xfId="0" applyFont="1" applyFill="1"/>
    <xf numFmtId="8" fontId="0" fillId="0" borderId="0" xfId="0" applyNumberFormat="1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698A2-9604-46E2-AA10-65D0256F1723}">
  <dimension ref="A1:N33"/>
  <sheetViews>
    <sheetView tabSelected="1" workbookViewId="0">
      <selection activeCell="D10" sqref="D10"/>
    </sheetView>
  </sheetViews>
  <sheetFormatPr defaultRowHeight="14.4" x14ac:dyDescent="0.3"/>
  <cols>
    <col min="1" max="1" width="35.5546875" customWidth="1"/>
    <col min="6" max="6" width="11.109375" customWidth="1"/>
  </cols>
  <sheetData>
    <row r="1" spans="1:14" x14ac:dyDescent="0.3">
      <c r="A1" s="9" t="s">
        <v>0</v>
      </c>
      <c r="B1" s="10" t="s">
        <v>1</v>
      </c>
      <c r="F1" s="12" t="s">
        <v>12</v>
      </c>
      <c r="G1" s="13"/>
      <c r="H1" s="13"/>
      <c r="I1" s="13"/>
      <c r="K1" s="15" t="s">
        <v>13</v>
      </c>
      <c r="L1" s="15">
        <v>100</v>
      </c>
      <c r="M1" s="15">
        <v>200</v>
      </c>
      <c r="N1" s="15">
        <v>300</v>
      </c>
    </row>
    <row r="2" spans="1:14" x14ac:dyDescent="0.3">
      <c r="A2" s="2" t="s">
        <v>2</v>
      </c>
      <c r="B2">
        <v>50</v>
      </c>
      <c r="F2" s="13"/>
      <c r="G2" s="12">
        <v>400</v>
      </c>
      <c r="H2" s="12">
        <v>500</v>
      </c>
      <c r="I2" s="12">
        <v>600</v>
      </c>
      <c r="K2" s="16">
        <v>20</v>
      </c>
      <c r="L2" s="15">
        <f>L1*K2</f>
        <v>2000</v>
      </c>
      <c r="M2" s="16">
        <f>K2*M1</f>
        <v>4000</v>
      </c>
      <c r="N2" s="16">
        <f>K2*N1</f>
        <v>6000</v>
      </c>
    </row>
    <row r="3" spans="1:14" x14ac:dyDescent="0.3">
      <c r="A3" s="2" t="s">
        <v>3</v>
      </c>
      <c r="B3">
        <v>30</v>
      </c>
      <c r="F3" s="13">
        <v>20</v>
      </c>
      <c r="G3" s="14">
        <f>$G2*$F3</f>
        <v>8000</v>
      </c>
      <c r="H3" s="13">
        <f>H2*F3</f>
        <v>10000</v>
      </c>
      <c r="I3" s="13">
        <f>I2*F3</f>
        <v>12000</v>
      </c>
      <c r="K3" s="16">
        <v>25</v>
      </c>
      <c r="L3" s="15">
        <f>L1*K3</f>
        <v>2500</v>
      </c>
      <c r="M3" s="16">
        <f>K3*M1</f>
        <v>5000</v>
      </c>
      <c r="N3" s="16">
        <f>K3*N1</f>
        <v>7500</v>
      </c>
    </row>
    <row r="4" spans="1:14" x14ac:dyDescent="0.3">
      <c r="A4" s="2" t="s">
        <v>4</v>
      </c>
      <c r="B4">
        <v>4000</v>
      </c>
      <c r="F4" s="13">
        <v>25</v>
      </c>
      <c r="G4" s="14">
        <f>$G2*$F4</f>
        <v>10000</v>
      </c>
      <c r="H4" s="13">
        <f>H2*F4</f>
        <v>12500</v>
      </c>
      <c r="I4" s="13">
        <f>I2*F4</f>
        <v>15000</v>
      </c>
      <c r="K4" s="16">
        <v>30</v>
      </c>
      <c r="L4" s="15">
        <f>L1*K4</f>
        <v>3000</v>
      </c>
      <c r="M4" s="16">
        <f>K4*M1</f>
        <v>6000</v>
      </c>
      <c r="N4" s="16">
        <f>K4*N1</f>
        <v>9000</v>
      </c>
    </row>
    <row r="5" spans="1:14" x14ac:dyDescent="0.3">
      <c r="A5" s="2" t="s">
        <v>5</v>
      </c>
      <c r="B5">
        <v>10000</v>
      </c>
      <c r="F5" s="13">
        <v>30</v>
      </c>
      <c r="G5" s="14">
        <f>$G2*$F5</f>
        <v>12000</v>
      </c>
      <c r="H5" s="13">
        <f>H2*F5</f>
        <v>15000</v>
      </c>
      <c r="I5" s="13">
        <f>I2*F5</f>
        <v>18000</v>
      </c>
    </row>
    <row r="6" spans="1:14" x14ac:dyDescent="0.3">
      <c r="A6" s="2" t="s">
        <v>6</v>
      </c>
      <c r="B6">
        <f>(B5+B4)/(B2-B3)</f>
        <v>700</v>
      </c>
    </row>
    <row r="7" spans="1:14" x14ac:dyDescent="0.3">
      <c r="A7" s="2" t="s">
        <v>7</v>
      </c>
      <c r="B7">
        <f>B6*B2</f>
        <v>35000</v>
      </c>
    </row>
    <row r="8" spans="1:14" x14ac:dyDescent="0.3">
      <c r="A8" s="2" t="s">
        <v>8</v>
      </c>
      <c r="B8">
        <f>B6*B3</f>
        <v>21000</v>
      </c>
    </row>
    <row r="9" spans="1:14" x14ac:dyDescent="0.3">
      <c r="A9" s="2" t="s">
        <v>9</v>
      </c>
      <c r="B9">
        <f>B8+B4</f>
        <v>25000</v>
      </c>
    </row>
    <row r="10" spans="1:14" x14ac:dyDescent="0.3">
      <c r="A10" s="2" t="s">
        <v>10</v>
      </c>
      <c r="B10">
        <f>B7-B9</f>
        <v>10000</v>
      </c>
    </row>
    <row r="11" spans="1:14" x14ac:dyDescent="0.3">
      <c r="A11" s="2" t="s">
        <v>11</v>
      </c>
      <c r="B11" s="11">
        <f>PMT(6%/12,5*12,-20000)</f>
        <v>386.65603058855828</v>
      </c>
    </row>
    <row r="12" spans="1:14" x14ac:dyDescent="0.3">
      <c r="A12" s="5"/>
    </row>
    <row r="13" spans="1:14" x14ac:dyDescent="0.3">
      <c r="A13" s="4"/>
    </row>
    <row r="14" spans="1:14" x14ac:dyDescent="0.3">
      <c r="A14" s="4"/>
    </row>
    <row r="15" spans="1:14" x14ac:dyDescent="0.3">
      <c r="A15" s="4"/>
    </row>
    <row r="16" spans="1:14" x14ac:dyDescent="0.3">
      <c r="A16" s="2"/>
    </row>
    <row r="17" spans="1:2" x14ac:dyDescent="0.3">
      <c r="A17" s="3"/>
    </row>
    <row r="18" spans="1:2" x14ac:dyDescent="0.3">
      <c r="A18" s="4"/>
    </row>
    <row r="19" spans="1:2" x14ac:dyDescent="0.3">
      <c r="A19" s="3"/>
    </row>
    <row r="20" spans="1:2" x14ac:dyDescent="0.3">
      <c r="A20" s="3"/>
    </row>
    <row r="21" spans="1:2" x14ac:dyDescent="0.3">
      <c r="A21" s="3"/>
    </row>
    <row r="22" spans="1:2" x14ac:dyDescent="0.3">
      <c r="A22" s="3"/>
    </row>
    <row r="23" spans="1:2" x14ac:dyDescent="0.3">
      <c r="A23" s="3"/>
    </row>
    <row r="24" spans="1:2" x14ac:dyDescent="0.3">
      <c r="A24" s="6"/>
      <c r="B24" s="6"/>
    </row>
    <row r="25" spans="1:2" x14ac:dyDescent="0.3">
      <c r="A25" s="7"/>
      <c r="B25" s="7"/>
    </row>
    <row r="26" spans="1:2" x14ac:dyDescent="0.3">
      <c r="A26" s="7"/>
      <c r="B26" s="7"/>
    </row>
    <row r="27" spans="1:2" x14ac:dyDescent="0.3">
      <c r="A27" s="6"/>
      <c r="B27" s="8"/>
    </row>
    <row r="28" spans="1:2" x14ac:dyDescent="0.3">
      <c r="A28" s="6"/>
      <c r="B28" s="8"/>
    </row>
    <row r="29" spans="1:2" x14ac:dyDescent="0.3">
      <c r="A29" s="6"/>
      <c r="B29" s="8"/>
    </row>
    <row r="30" spans="1:2" x14ac:dyDescent="0.3">
      <c r="A30" s="3"/>
    </row>
    <row r="31" spans="1:2" x14ac:dyDescent="0.3">
      <c r="A31" s="1"/>
    </row>
    <row r="32" spans="1:2" x14ac:dyDescent="0.3">
      <c r="A32" s="3"/>
    </row>
    <row r="33" spans="1:1" x14ac:dyDescent="0.3">
      <c r="A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Danish</dc:creator>
  <cp:lastModifiedBy>Muhammed Danish</cp:lastModifiedBy>
  <dcterms:created xsi:type="dcterms:W3CDTF">2026-04-27T09:04:24Z</dcterms:created>
  <dcterms:modified xsi:type="dcterms:W3CDTF">2026-05-08T05:37:01Z</dcterms:modified>
</cp:coreProperties>
</file>